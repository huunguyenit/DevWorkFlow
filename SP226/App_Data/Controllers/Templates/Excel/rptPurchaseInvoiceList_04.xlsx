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25725"/>
</workbook>
</file>

<file path=xl/calcChain.xml><?xml version="1.0" encoding="utf-8"?>
<calcChain xmlns="http://schemas.openxmlformats.org/spreadsheetml/2006/main">
  <c r="O10" i="1"/>
  <c r="N14"/>
  <c r="N10"/>
  <c r="P14"/>
  <c r="M14"/>
  <c r="P10"/>
  <c r="M10"/>
  <c r="L10"/>
  <c r="K10"/>
  <c r="L14"/>
  <c r="G12"/>
</calcChain>
</file>

<file path=xl/sharedStrings.xml><?xml version="1.0" encoding="utf-8"?>
<sst xmlns="http://schemas.openxmlformats.org/spreadsheetml/2006/main" count="47" uniqueCount="47">
  <si>
    <t>?title</t>
  </si>
  <si>
    <t>?Entity_Line1</t>
  </si>
  <si>
    <t>?Entity_Line2</t>
  </si>
  <si>
    <t>?Entity_Line3</t>
  </si>
  <si>
    <t>?Entity_Line4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</si>
  <si>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</si>
  <si>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</si>
  <si>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</si>
  <si>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</si>
  <si>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</si>
  <si>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</si>
  <si>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</si>
  <si>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</si>
  <si>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?total</t>
  </si>
  <si>
    <t>?h_dvt</t>
  </si>
  <si>
    <t>?h_kho</t>
  </si>
  <si>
    <t>?h_so_luong</t>
  </si>
  <si>
    <t>!2.dvt</t>
  </si>
  <si>
    <t>!2.ma_kho</t>
  </si>
  <si>
    <t>!2.so_luong</t>
  </si>
  <si>
    <t>?cLan</t>
  </si>
  <si>
    <t>?ma_nt0</t>
  </si>
  <si>
    <t>?h_vat_tu</t>
  </si>
  <si>
    <t>!2.ten_vt%l</t>
  </si>
  <si>
    <t>!2.ma_ct0</t>
  </si>
  <si>
    <t>?h_nt</t>
  </si>
  <si>
    <t>#?h_tu_ngay + + !1.date_from + + ?h_den_ngay + + !1.date_to</t>
  </si>
  <si>
    <t>?h_chung_tu</t>
  </si>
  <si>
    <t>?h_so</t>
  </si>
  <si>
    <t>?h_ngay</t>
  </si>
  <si>
    <t>!2.ma_vt</t>
  </si>
  <si>
    <t>!2.gia%c0</t>
  </si>
  <si>
    <t>!2.tien%c0</t>
  </si>
  <si>
    <t>!2.cp%c</t>
  </si>
  <si>
    <t>!2.gia%c</t>
  </si>
  <si>
    <t>!2.tien%c</t>
  </si>
  <si>
    <t>?h_gia_mua</t>
  </si>
  <si>
    <t>?h_tien_hang</t>
  </si>
  <si>
    <t>?h_cp</t>
  </si>
  <si>
    <t>?isFC</t>
  </si>
  <si>
    <t>?h_thanh_tien</t>
  </si>
  <si>
    <t>?reportDate</t>
  </si>
  <si>
    <t>?bookKeeper</t>
  </si>
  <si>
    <t>?signatureFullname</t>
  </si>
  <si>
    <t>?h_don_gia</t>
  </si>
  <si>
    <t>?h_thue_nk</t>
  </si>
  <si>
    <t>!2.nk%c</t>
  </si>
</sst>
</file>

<file path=xl/styles.xml><?xml version="1.0" encoding="utf-8"?>
<styleSheet xmlns="http://schemas.openxmlformats.org/spreadsheetml/2006/main">
  <numFmts count="5">
    <numFmt numFmtId="164" formatCode="_(* #,##0_);_(* \(#,##0\);_(@_)"/>
    <numFmt numFmtId="165" formatCode="dd/mm/yyyy"/>
    <numFmt numFmtId="166" formatCode="_(* #,##0_);_(* \(#,##0\);_(* &quot;&quot;_);_(@_)"/>
    <numFmt numFmtId="167" formatCode="_(* #,##0.00_);_(* \(#,##0.00\);_(@_)"/>
    <numFmt numFmtId="168" formatCode="_(* #,##0.000_);_(* \(#,##0.000\);_(* &quot;&quot;_);_(@_)"/>
  </numFmts>
  <fonts count="9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 wrapText="1"/>
    </xf>
    <xf numFmtId="0" fontId="2" fillId="0" borderId="11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/>
    </xf>
    <xf numFmtId="167" fontId="1" fillId="0" borderId="0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right" vertical="center" wrapText="1"/>
    </xf>
    <xf numFmtId="166" fontId="2" fillId="0" borderId="11" xfId="0" applyNumberFormat="1" applyFont="1" applyBorder="1" applyAlignment="1">
      <alignment horizontal="right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64" fontId="1" fillId="0" borderId="12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vertical="center"/>
    </xf>
    <xf numFmtId="0" fontId="2" fillId="0" borderId="10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9" formatCode="\ 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S20"/>
  <sheetViews>
    <sheetView showGridLines="0" tabSelected="1" topLeftCell="A2" zoomScaleNormal="100" workbookViewId="0">
      <selection activeCell="A7" sqref="A7:P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4" width="10" style="2" customWidth="1"/>
    <col min="5" max="7" width="22.5703125" style="2" customWidth="1"/>
    <col min="8" max="8" width="10" style="2" customWidth="1"/>
    <col min="9" max="9" width="8" style="2" customWidth="1"/>
    <col min="10" max="11" width="10" style="2" customWidth="1"/>
    <col min="12" max="14" width="13" style="2" customWidth="1"/>
    <col min="15" max="15" width="10" style="2" customWidth="1"/>
    <col min="16" max="16" width="13" style="2" customWidth="1"/>
    <col min="17" max="17" width="7.5703125" style="27" hidden="1" customWidth="1"/>
    <col min="18" max="18" width="9.85546875" style="27" hidden="1" customWidth="1"/>
    <col min="19" max="19" width="9.140625" style="27"/>
    <col min="20" max="16384" width="9.140625" style="2"/>
  </cols>
  <sheetData>
    <row r="1" spans="1:18" s="10" customFormat="1" ht="15.6" hidden="1" customHeight="1">
      <c r="A1" s="10" t="s">
        <v>37</v>
      </c>
      <c r="B1" s="10" t="s">
        <v>21</v>
      </c>
      <c r="C1" s="10" t="s">
        <v>36</v>
      </c>
      <c r="D1" s="10" t="s">
        <v>39</v>
      </c>
      <c r="E1" s="10" t="s">
        <v>20</v>
      </c>
      <c r="F1" s="10" t="s">
        <v>25</v>
      </c>
      <c r="G1" s="10" t="s">
        <v>38</v>
      </c>
      <c r="H1" s="10" t="s">
        <v>44</v>
      </c>
      <c r="I1" s="10" t="s">
        <v>40</v>
      </c>
      <c r="J1" s="10" t="s">
        <v>45</v>
      </c>
    </row>
    <row r="2" spans="1:18" ht="15" customHeight="1">
      <c r="A2" s="1" t="s">
        <v>1</v>
      </c>
      <c r="B2" s="1"/>
      <c r="C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8" ht="15" customHeight="1">
      <c r="A3" s="2" t="s">
        <v>2</v>
      </c>
    </row>
    <row r="4" spans="1:18" ht="15" customHeight="1">
      <c r="A4" s="3" t="s">
        <v>3</v>
      </c>
      <c r="B4" s="3"/>
      <c r="C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8" ht="15" customHeight="1">
      <c r="A5" s="3" t="s">
        <v>4</v>
      </c>
      <c r="B5" s="3"/>
      <c r="C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7" spans="1:18" ht="28.35" customHeight="1">
      <c r="A7" s="40" t="s">
        <v>0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</row>
    <row r="8" spans="1:18" ht="15" customHeight="1">
      <c r="A8" s="41" t="s">
        <v>26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</row>
    <row r="9" spans="1:18" ht="15" customHeight="1">
      <c r="A9" s="15"/>
      <c r="B9" s="15"/>
      <c r="C9" s="12"/>
      <c r="D9" s="6"/>
      <c r="E9" s="15"/>
      <c r="F9" s="13"/>
      <c r="G9" s="23"/>
      <c r="H9" s="34"/>
      <c r="I9" s="18"/>
      <c r="J9" s="11"/>
      <c r="K9" s="12"/>
      <c r="L9" s="13"/>
      <c r="M9" s="12"/>
      <c r="N9" s="29"/>
      <c r="O9" s="15"/>
      <c r="P9" s="11"/>
    </row>
    <row r="10" spans="1:18" ht="22.5" customHeight="1">
      <c r="A10" s="44" t="s">
        <v>27</v>
      </c>
      <c r="B10" s="45"/>
      <c r="C10" s="46"/>
      <c r="D10" s="38" t="s">
        <v>7</v>
      </c>
      <c r="E10" s="38" t="s">
        <v>6</v>
      </c>
      <c r="F10" s="38" t="s">
        <v>5</v>
      </c>
      <c r="G10" s="38" t="s">
        <v>22</v>
      </c>
      <c r="H10" s="38" t="s">
        <v>15</v>
      </c>
      <c r="I10" s="38" t="s">
        <v>14</v>
      </c>
      <c r="J10" s="38" t="s">
        <v>16</v>
      </c>
      <c r="K10" s="38" t="e">
        <f xml:space="preserve"> IF(D1, IF(E1 = "V", C1 &amp; " " &amp;F1, F1&amp;" "&amp;C1), C1)</f>
        <v>#VALUE!</v>
      </c>
      <c r="L10" s="38" t="e">
        <f>IF(D1, IF(E1 = "V", A1 &amp; " " &amp;F1, F1&amp;" "&amp;A1), A1)</f>
        <v>#VALUE!</v>
      </c>
      <c r="M10" s="38" t="e">
        <f>IF(D1,IF(E1 = "V", G1 &amp; " " &amp;F1, F1&amp;" "&amp;G1),G1)</f>
        <v>#VALUE!</v>
      </c>
      <c r="N10" s="38" t="e">
        <f>IF(D1,IF(E1="V",J1&amp;" "&amp;F1,F1&amp;" "&amp;J1),J1)</f>
        <v>#VALUE!</v>
      </c>
      <c r="O10" s="38" t="e">
        <f>IF(D1, IF(E1 = "V",H1 &amp; " " &amp;F1, F11&amp;" "&amp;H1),H1)</f>
        <v>#VALUE!</v>
      </c>
      <c r="P10" s="42" t="e">
        <f>IF(D1, IF(E1 = "V", I1 &amp; " " &amp;F1, F1&amp;" "&amp;I1),I1)</f>
        <v>#VALUE!</v>
      </c>
    </row>
    <row r="11" spans="1:18" ht="22.5" customHeight="1">
      <c r="A11" s="26" t="s">
        <v>29</v>
      </c>
      <c r="B11" s="44" t="s">
        <v>28</v>
      </c>
      <c r="C11" s="46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43"/>
    </row>
    <row r="12" spans="1:18" ht="15" customHeight="1">
      <c r="A12" s="16" t="s">
        <v>11</v>
      </c>
      <c r="B12" s="33" t="s">
        <v>24</v>
      </c>
      <c r="C12" s="17" t="s">
        <v>10</v>
      </c>
      <c r="D12" s="14" t="s">
        <v>8</v>
      </c>
      <c r="E12" s="14" t="s">
        <v>9</v>
      </c>
      <c r="F12" s="9" t="s">
        <v>12</v>
      </c>
      <c r="G12" s="9" t="str">
        <f>Q12&amp;" - "&amp; R12</f>
        <v>!2.ma_vt - !2.ten_vt%l</v>
      </c>
      <c r="H12" s="9" t="s">
        <v>18</v>
      </c>
      <c r="I12" s="9" t="s">
        <v>17</v>
      </c>
      <c r="J12" s="24" t="s">
        <v>19</v>
      </c>
      <c r="K12" s="25" t="s">
        <v>31</v>
      </c>
      <c r="L12" s="25" t="s">
        <v>32</v>
      </c>
      <c r="M12" s="25" t="s">
        <v>33</v>
      </c>
      <c r="N12" s="25" t="s">
        <v>46</v>
      </c>
      <c r="O12" s="25" t="s">
        <v>34</v>
      </c>
      <c r="P12" s="25" t="s">
        <v>35</v>
      </c>
      <c r="Q12" s="10" t="s">
        <v>30</v>
      </c>
      <c r="R12" s="10" t="s">
        <v>23</v>
      </c>
    </row>
    <row r="13" spans="1:18" ht="22.5" hidden="1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8" ht="15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1" t="s">
        <v>13</v>
      </c>
      <c r="L14" s="28">
        <f>SUM($L$12:L12)</f>
        <v>0</v>
      </c>
      <c r="M14" s="28">
        <f>SUM($M$12:M12)</f>
        <v>0</v>
      </c>
      <c r="N14" s="30">
        <f>SUM($N$12:N12)</f>
        <v>0</v>
      </c>
      <c r="O14" s="21"/>
      <c r="P14" s="28">
        <f>SUM($P$12:P12)</f>
        <v>0</v>
      </c>
    </row>
    <row r="15" spans="1:18" ht="15" customHeight="1">
      <c r="A15" s="19"/>
      <c r="B15" s="19"/>
      <c r="C15" s="19"/>
      <c r="D15" s="19"/>
      <c r="E15" s="19"/>
      <c r="F15" s="19"/>
      <c r="G15" s="22"/>
      <c r="H15" s="22"/>
      <c r="I15" s="19"/>
      <c r="J15" s="20"/>
      <c r="K15" s="20"/>
      <c r="L15" s="20"/>
      <c r="M15" s="19"/>
      <c r="N15" s="22"/>
      <c r="O15" s="19"/>
      <c r="P15" s="19"/>
    </row>
    <row r="16" spans="1:18" ht="15" customHeight="1">
      <c r="A16" s="3"/>
      <c r="B16" s="3"/>
      <c r="C16" s="3"/>
      <c r="D16" s="3"/>
      <c r="E16" s="3"/>
      <c r="F16" s="3"/>
      <c r="G16" s="3"/>
      <c r="H16" s="3"/>
      <c r="I16" s="3"/>
      <c r="M16" s="35" t="s">
        <v>41</v>
      </c>
      <c r="N16" s="35"/>
      <c r="O16" s="35"/>
      <c r="P16" s="35"/>
    </row>
    <row r="17" spans="1:16" ht="15" customHeight="1">
      <c r="A17" s="4"/>
      <c r="B17" s="4"/>
      <c r="C17" s="4"/>
      <c r="D17" s="4"/>
      <c r="E17" s="4"/>
      <c r="F17" s="4"/>
      <c r="G17" s="4"/>
      <c r="H17" s="4"/>
      <c r="I17" s="4"/>
      <c r="K17" s="4"/>
      <c r="L17" s="4"/>
      <c r="M17" s="36" t="s">
        <v>42</v>
      </c>
      <c r="N17" s="36"/>
      <c r="O17" s="36"/>
      <c r="P17" s="36"/>
    </row>
    <row r="18" spans="1:16" ht="15" customHeight="1">
      <c r="A18" s="7"/>
      <c r="B18" s="7"/>
      <c r="C18" s="7"/>
      <c r="D18" s="7"/>
      <c r="E18" s="7"/>
      <c r="F18" s="7"/>
      <c r="G18" s="7"/>
      <c r="H18" s="7"/>
      <c r="I18" s="7"/>
      <c r="K18" s="7"/>
      <c r="L18" s="7"/>
      <c r="M18" s="37" t="s">
        <v>43</v>
      </c>
      <c r="N18" s="37"/>
      <c r="O18" s="37"/>
      <c r="P18" s="37"/>
    </row>
    <row r="19" spans="1:16" ht="1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</sheetData>
  <mergeCells count="20">
    <mergeCell ref="A7:P7"/>
    <mergeCell ref="A8:P8"/>
    <mergeCell ref="D10:D11"/>
    <mergeCell ref="E10:E11"/>
    <mergeCell ref="K10:K11"/>
    <mergeCell ref="M10:M11"/>
    <mergeCell ref="O10:O11"/>
    <mergeCell ref="P10:P11"/>
    <mergeCell ref="A10:C10"/>
    <mergeCell ref="B11:C11"/>
    <mergeCell ref="I10:I11"/>
    <mergeCell ref="N10:N11"/>
    <mergeCell ref="M16:P16"/>
    <mergeCell ref="M17:P17"/>
    <mergeCell ref="M18:P18"/>
    <mergeCell ref="J10:J11"/>
    <mergeCell ref="F10:F11"/>
    <mergeCell ref="L10:L11"/>
    <mergeCell ref="G10:G11"/>
    <mergeCell ref="H10:H11"/>
  </mergeCells>
  <conditionalFormatting sqref="K12:P12">
    <cfRule type="expression" dxfId="1" priority="3">
      <formula>AND($D$1, 1)</formula>
    </cfRule>
  </conditionalFormatting>
  <conditionalFormatting sqref="P14 L14:N14">
    <cfRule type="expression" dxfId="0" priority="4">
      <formula>AND($D$1, 2)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2014-08-25T04:01:18Z</dcterms:modified>
</cp:coreProperties>
</file>