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L15" l="1"/>
  <c r="L11"/>
  <c r="K15"/>
  <c r="J15"/>
  <c r="M11"/>
  <c r="K11"/>
  <c r="J11"/>
  <c r="I11"/>
  <c r="N11"/>
  <c r="H15"/>
  <c r="N15"/>
</calcChain>
</file>

<file path=xl/sharedStrings.xml><?xml version="1.0" encoding="utf-8"?>
<sst xmlns="http://schemas.openxmlformats.org/spreadsheetml/2006/main" count="38" uniqueCount="38">
  <si>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</si>
  <si>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</si>
  <si>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</si>
  <si>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</si>
  <si>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</si>
  <si>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</si>
  <si>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</si>
  <si>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</si>
  <si>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</si>
  <si>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</si>
  <si>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</si>
  <si>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</si>
  <si>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</si>
  <si>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</si>
  <si>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</si>
  <si>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</si>
  <si>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</si>
  <si>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</si>
  <si>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</si>
  <si>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</si>
  <si>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</si>
  <si>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</si>
  <si>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</si>
  <si>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</si>
  <si>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</si>
  <si>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!2.gia%c</t>
  </si>
  <si>
    <t>#?h_dvt + + !1.dvt</t>
  </si>
  <si>
    <t>!2.gia%c0</t>
  </si>
  <si>
    <t>?h_kh</t>
  </si>
  <si>
    <t>!2.so_luong{b:systotal = 0}</t>
  </si>
  <si>
    <t>!2.tien%c0{b:systotal = 0}</t>
  </si>
  <si>
    <t>!2.cp%c{b:systotal = 0}</t>
  </si>
  <si>
    <t>!2.nk%c{b:systotal = 0}</t>
  </si>
  <si>
    <t>!2.tien%c{b:systotal = 0}</t>
  </si>
  <si>
    <t>!2.ma_kh</t>
  </si>
  <si>
    <t>!2.ten_kh%l</t>
  </si>
  <si>
    <t>?h_dvt2</t>
  </si>
  <si>
    <t>!2.dvt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</si>
</sst>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22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9.28515625" style="2" customWidth="1"/>
    <col min="5" max="5" width="9" style="2" customWidth="1"/>
    <col min="6" max="9" width="10" style="2" customWidth="1"/>
    <col min="10" max="12" width="15" style="2" customWidth="1"/>
    <col min="13" max="13" width="10" style="2" customWidth="1"/>
    <col min="14" max="14" width="15" style="2" customWidth="1"/>
    <col min="15" max="15" width="9" style="2" hidden="1" customWidth="1"/>
    <col min="16" max="16" width="8.7109375" style="2" hidden="1" customWidth="1"/>
    <col min="17" max="17" width="9.140625" style="2" hidden="1" customWidth="1"/>
    <col min="18" max="16384" width="9.140625" style="2"/>
  </cols>
  <sheetData>
    <row r="1" spans="1:17" s="14" customFormat="1" ht="15.6" hidden="1" customHeight="1">
      <c r="A1" s="14" t="s">
        <v>9</v>
      </c>
      <c r="B1" s="14" t="s">
        <v>16</v>
      </c>
      <c r="C1" s="14" t="s">
        <v>26</v>
      </c>
      <c r="D1" s="14" t="s">
        <v>17</v>
      </c>
    </row>
    <row r="2" spans="1:17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ht="15" customHeight="1">
      <c r="A3" s="2" t="s">
        <v>2</v>
      </c>
    </row>
    <row r="4" spans="1:17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7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7" ht="28.35" customHeight="1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7" ht="15" customHeight="1">
      <c r="A8" s="27" t="str">
        <f>D1</f>
        <v>#?h_vt + + !1.ma_vt + - + !1.ten_vt%l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7" ht="15" customHeight="1">
      <c r="A9" s="28" t="s">
        <v>14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7" ht="15" customHeight="1">
      <c r="A10" s="15"/>
      <c r="B10" s="15"/>
      <c r="C10" s="15"/>
      <c r="D10" s="15"/>
      <c r="E10" s="25"/>
      <c r="F10" s="18"/>
      <c r="G10" s="18"/>
      <c r="H10" s="15"/>
      <c r="I10" s="15"/>
      <c r="J10" s="20"/>
      <c r="K10" s="20"/>
      <c r="L10" s="21"/>
      <c r="M10" s="20"/>
      <c r="N10" s="15"/>
    </row>
    <row r="11" spans="1:17" ht="22.5" customHeight="1">
      <c r="A11" s="37" t="s">
        <v>10</v>
      </c>
      <c r="B11" s="38"/>
      <c r="C11" s="39"/>
      <c r="D11" s="33" t="s">
        <v>28</v>
      </c>
      <c r="E11" s="33" t="s">
        <v>36</v>
      </c>
      <c r="F11" s="33" t="s">
        <v>20</v>
      </c>
      <c r="G11" s="33" t="s">
        <v>21</v>
      </c>
      <c r="H11" s="33" t="s">
        <v>22</v>
      </c>
      <c r="I11" s="29" t="e">
        <f xml:space="preserve"> IF(A1, "?h_gia_mua_nt", "?h_gia_mua")</f>
        <v>#VALUE!</v>
      </c>
      <c r="J11" s="29" t="e">
        <f>IF(A1, "?h_tien_hang_nt", "?h_tien_hang")</f>
        <v>#VALUE!</v>
      </c>
      <c r="K11" s="29" t="e">
        <f>IF(A1, "?h_cp_nt", "?h_cp")</f>
        <v>#VALUE!</v>
      </c>
      <c r="L11" s="29" t="e">
        <f>IF(A1, "?h_thue_nt", "?h_thue")</f>
        <v>#VALUE!</v>
      </c>
      <c r="M11" s="29" t="e">
        <f>IF(A1, "?h_gia_nt", "?h_gia")</f>
        <v>#VALUE!</v>
      </c>
      <c r="N11" s="29" t="e">
        <f>IF(A1, "?h_tien_nt", "?h_tien")</f>
        <v>#VALUE!</v>
      </c>
    </row>
    <row r="12" spans="1:17" ht="22.5" customHeight="1">
      <c r="A12" s="23" t="s">
        <v>18</v>
      </c>
      <c r="B12" s="31" t="s">
        <v>19</v>
      </c>
      <c r="C12" s="32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7" ht="15" customHeight="1">
      <c r="A13" s="17" t="s">
        <v>11</v>
      </c>
      <c r="B13" s="22" t="s">
        <v>12</v>
      </c>
      <c r="C13" s="19" t="s">
        <v>13</v>
      </c>
      <c r="D13" s="24" t="str">
        <f>P13 &amp; IF(Q13 &lt;&gt; "", IF(O13&lt;&gt;0, " - ", "") &amp; Q13, "")</f>
        <v>!2.ma_kh - !2.ten_kh%l</v>
      </c>
      <c r="E13" s="24" t="s">
        <v>37</v>
      </c>
      <c r="F13" s="24" t="s">
        <v>24</v>
      </c>
      <c r="G13" s="24" t="s">
        <v>23</v>
      </c>
      <c r="H13" s="13" t="s">
        <v>29</v>
      </c>
      <c r="I13" s="12" t="s">
        <v>27</v>
      </c>
      <c r="J13" s="11" t="s">
        <v>30</v>
      </c>
      <c r="K13" s="11" t="s">
        <v>31</v>
      </c>
      <c r="L13" s="11" t="s">
        <v>32</v>
      </c>
      <c r="M13" s="11" t="s">
        <v>25</v>
      </c>
      <c r="N13" s="11" t="s">
        <v>33</v>
      </c>
      <c r="O13" s="14" t="s">
        <v>8</v>
      </c>
      <c r="P13" s="14" t="s">
        <v>34</v>
      </c>
      <c r="Q13" s="14" t="s">
        <v>35</v>
      </c>
    </row>
    <row r="14" spans="1:17" ht="14.25" hidden="1" customHeight="1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7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SUMIF($O$13:O13, 1, $H$13:H13)</f>
        <v>0</v>
      </c>
      <c r="I15" s="7"/>
      <c r="J15" s="7">
        <f>SUMIF($O$13:$O13, 1, $J$13:$J13)</f>
        <v>0</v>
      </c>
      <c r="K15" s="7">
        <f>SUMIF($O$13:$O13, 1, $K$13:$K13)</f>
        <v>0</v>
      </c>
      <c r="L15" s="7">
        <f>SUMIF($O$13:$O13, 1, $L$13:$L13)</f>
        <v>0</v>
      </c>
      <c r="M15" s="7"/>
      <c r="N15" s="7">
        <f>SUMIF($O$13:O13, 1, $N$13:N13)</f>
        <v>0</v>
      </c>
    </row>
    <row r="16" spans="1:17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  <c r="K16" s="8"/>
      <c r="L16" s="8"/>
      <c r="M16" s="8"/>
      <c r="N16" s="8"/>
    </row>
    <row r="17" spans="1:14" ht="15" customHeight="1">
      <c r="A17" s="8"/>
      <c r="B17" s="8"/>
      <c r="C17" s="8"/>
      <c r="D17" s="8"/>
      <c r="E17" s="8"/>
      <c r="F17" s="8"/>
      <c r="K17" s="34" t="s">
        <v>5</v>
      </c>
      <c r="L17" s="34"/>
      <c r="M17" s="34"/>
      <c r="N17" s="34"/>
    </row>
    <row r="18" spans="1:14" ht="15" customHeight="1">
      <c r="A18" s="3"/>
      <c r="B18" s="3"/>
      <c r="C18" s="3"/>
      <c r="D18" s="3"/>
      <c r="E18" s="3"/>
      <c r="F18" s="3"/>
      <c r="H18" s="4"/>
      <c r="I18" s="4"/>
      <c r="J18" s="4"/>
      <c r="K18" s="35" t="s">
        <v>7</v>
      </c>
      <c r="L18" s="35"/>
      <c r="M18" s="35"/>
      <c r="N18" s="35"/>
    </row>
    <row r="19" spans="1:14" ht="15" customHeight="1">
      <c r="A19" s="4"/>
      <c r="B19" s="4"/>
      <c r="C19" s="4"/>
      <c r="D19" s="4"/>
      <c r="E19" s="4"/>
      <c r="F19" s="4"/>
      <c r="H19" s="6"/>
      <c r="I19" s="6"/>
      <c r="J19" s="6"/>
      <c r="K19" s="36" t="s">
        <v>6</v>
      </c>
      <c r="L19" s="36"/>
      <c r="M19" s="36"/>
      <c r="N19" s="36"/>
    </row>
    <row r="20" spans="1:14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</row>
    <row r="21" spans="1:14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mergeCells count="19">
    <mergeCell ref="K17:N17"/>
    <mergeCell ref="K18:N18"/>
    <mergeCell ref="K19:N19"/>
    <mergeCell ref="A11:C11"/>
    <mergeCell ref="L11:L12"/>
    <mergeCell ref="E11:E12"/>
    <mergeCell ref="A7:N7"/>
    <mergeCell ref="A8:N8"/>
    <mergeCell ref="A9:N9"/>
    <mergeCell ref="I11:I12"/>
    <mergeCell ref="B12:C12"/>
    <mergeCell ref="H11:H12"/>
    <mergeCell ref="D11:D12"/>
    <mergeCell ref="N11:N12"/>
    <mergeCell ref="F11:F12"/>
    <mergeCell ref="G11:G12"/>
    <mergeCell ref="J11:J12"/>
    <mergeCell ref="K11:K12"/>
    <mergeCell ref="M11:M12"/>
  </mergeCells>
  <conditionalFormatting sqref="I13:N13">
    <cfRule type="expression" dxfId="2" priority="20">
      <formula>AND($A$1, 1)</formula>
    </cfRule>
  </conditionalFormatting>
  <conditionalFormatting sqref="N15 J15:L15">
    <cfRule type="expression" dxfId="1" priority="4">
      <formula>AND($A$1,2)</formula>
    </cfRule>
  </conditionalFormatting>
  <conditionalFormatting sqref="D13:E13">
    <cfRule type="expression" dxfId="0" priority="1">
      <formula>$O13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2015-03-19T02:25:27Z</dcterms:modified>
</cp:coreProperties>
</file>