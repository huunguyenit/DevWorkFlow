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I11" i="1" l="1"/>
  <c r="L11" i="1" l="1"/>
  <c r="L13" i="1"/>
  <c r="K13" i="1"/>
  <c r="G11" i="1"/>
  <c r="K14" i="1" l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<sst xmlns="http://schemas.openxmlformats.org/spreadsheetml/2006/main" count="36" uniqueCount="36">
  <si>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</si>
  <si>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</si>
  <si>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</si>
  <si>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</si>
  <si>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</si>
  <si>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</si>
  <si>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</si>
  <si>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</si>
  <si>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</si>
  <si>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</si>
  <si>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</si>
  <si>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</si>
  <si>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</si>
  <si>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</si>
  <si>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</si>
  <si>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</si>
  <si>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</si>
  <si>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</si>
  <si>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</si>
  <si>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!2.loai_tt</t>
  </si>
  <si>
    <t>!2.tt</t>
  </si>
  <si>
    <t>!2.t_tt</t>
  </si>
  <si>
    <t>?h_con_pt</t>
  </si>
  <si>
    <t>!2.systotal</t>
  </si>
  <si>
    <t>!2.ma_ct0</t>
  </si>
  <si>
    <t>?h_ngay_ct</t>
  </si>
  <si>
    <t>?p_ma_kh</t>
  </si>
  <si>
    <t>?p_ten_kh</t>
  </si>
  <si>
    <t>#?h_dFrom + + !1.date_from + + ?h_dTo + + !1.date_to</t>
  </si>
  <si>
    <t>!2.so_ct</t>
  </si>
  <si>
    <t>?h_ma_hd</t>
  </si>
  <si>
    <t>?h_ten_hd</t>
  </si>
  <si>
    <t>!2.ten_kh</t>
  </si>
  <si>
    <t>!2.ma_hd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</si>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</sst>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  <font>
      <sz val="11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9"/>
  <sheetViews>
    <sheetView showGridLines="0" tabSelected="1" topLeftCell="C1" zoomScaleNormal="100" workbookViewId="0">
      <selection activeCell="C6" sqref="C6:L6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23.5703125" style="2" customWidth="1"/>
    <col min="5" max="5" width="10" style="2" customWidth="1"/>
    <col min="6" max="6" width="23.28515625" style="2" customWidth="1"/>
    <col min="7" max="7" width="9" style="2" customWidth="1"/>
    <col min="8" max="8" width="4.85546875" style="2" customWidth="1"/>
    <col min="9" max="9" width="10" style="2" customWidth="1"/>
    <col min="10" max="10" width="23" style="2" customWidth="1"/>
    <col min="11" max="11" width="15" style="2" customWidth="1"/>
    <col min="12" max="12" width="15" style="14" customWidth="1"/>
    <col min="13" max="18" width="9.140625" style="23" hidden="1" customWidth="1"/>
    <col min="19" max="19" width="9.140625" style="14"/>
    <col min="20" max="16384" width="9.140625" style="2"/>
  </cols>
  <sheetData>
    <row r="1" spans="1:18" ht="15.6" customHeight="1" x14ac:dyDescent="0.25">
      <c r="C1" s="1" t="s">
        <v>1</v>
      </c>
      <c r="D1" s="1"/>
      <c r="E1" s="1"/>
      <c r="F1" s="1"/>
      <c r="I1" s="1"/>
      <c r="J1" s="1"/>
      <c r="K1" s="1"/>
      <c r="L1" s="13"/>
    </row>
    <row r="2" spans="1:18" ht="15.6" customHeight="1" x14ac:dyDescent="0.25">
      <c r="C2" s="2" t="s">
        <v>2</v>
      </c>
    </row>
    <row r="3" spans="1:18" ht="15.6" customHeight="1" x14ac:dyDescent="0.25">
      <c r="C3" s="3" t="s">
        <v>3</v>
      </c>
      <c r="D3" s="3"/>
      <c r="E3" s="3"/>
      <c r="F3" s="3"/>
      <c r="I3" s="3"/>
      <c r="J3" s="3"/>
      <c r="K3" s="3"/>
      <c r="L3" s="15"/>
    </row>
    <row r="4" spans="1:18" ht="15.6" customHeight="1" x14ac:dyDescent="0.25">
      <c r="C4" s="3" t="s">
        <v>4</v>
      </c>
      <c r="D4" s="3"/>
      <c r="E4" s="3"/>
      <c r="F4" s="3"/>
      <c r="I4" s="3"/>
      <c r="J4" s="3"/>
      <c r="K4" s="3"/>
      <c r="L4" s="15"/>
    </row>
    <row r="5" spans="1:18" ht="15.6" customHeight="1" x14ac:dyDescent="0.25"/>
    <row r="6" spans="1:18" ht="28.35" customHeight="1" x14ac:dyDescent="0.25">
      <c r="C6" s="36" t="s">
        <v>0</v>
      </c>
      <c r="D6" s="36"/>
      <c r="E6" s="36"/>
      <c r="F6" s="36"/>
      <c r="G6" s="36"/>
      <c r="H6" s="36"/>
      <c r="I6" s="36"/>
      <c r="J6" s="36"/>
      <c r="K6" s="36"/>
      <c r="L6" s="36"/>
    </row>
    <row r="7" spans="1:18" ht="15.6" customHeight="1" x14ac:dyDescent="0.25">
      <c r="C7" s="37" t="s">
        <v>28</v>
      </c>
      <c r="D7" s="37"/>
      <c r="E7" s="37"/>
      <c r="F7" s="37"/>
      <c r="G7" s="37"/>
      <c r="H7" s="37"/>
      <c r="I7" s="37"/>
      <c r="J7" s="37"/>
      <c r="K7" s="37"/>
      <c r="L7" s="37"/>
    </row>
    <row r="8" spans="1:18" ht="15.6" customHeight="1" x14ac:dyDescent="0.25">
      <c r="E8" s="27"/>
      <c r="F8" s="27"/>
      <c r="G8" s="5"/>
      <c r="H8" s="8"/>
      <c r="I8" s="7"/>
      <c r="J8" s="7"/>
      <c r="K8" s="7"/>
      <c r="L8" s="16"/>
    </row>
    <row r="9" spans="1:18" ht="22.5" customHeight="1" x14ac:dyDescent="0.25">
      <c r="C9" s="38" t="s">
        <v>26</v>
      </c>
      <c r="D9" s="40" t="s">
        <v>27</v>
      </c>
      <c r="E9" s="44" t="s">
        <v>30</v>
      </c>
      <c r="F9" s="44" t="s">
        <v>31</v>
      </c>
      <c r="G9" s="38" t="s">
        <v>18</v>
      </c>
      <c r="H9" s="38"/>
      <c r="I9" s="38"/>
      <c r="J9" s="38" t="s">
        <v>10</v>
      </c>
      <c r="K9" s="38" t="s">
        <v>11</v>
      </c>
      <c r="L9" s="39" t="s">
        <v>12</v>
      </c>
    </row>
    <row r="10" spans="1:18" ht="22.5" customHeight="1" x14ac:dyDescent="0.25">
      <c r="C10" s="38"/>
      <c r="D10" s="41"/>
      <c r="E10" s="44"/>
      <c r="F10" s="44"/>
      <c r="G10" s="25" t="s">
        <v>25</v>
      </c>
      <c r="H10" s="42" t="s">
        <v>9</v>
      </c>
      <c r="I10" s="43"/>
      <c r="J10" s="38"/>
      <c r="K10" s="38"/>
      <c r="L10" s="39"/>
    </row>
    <row r="11" spans="1:18" ht="15" customHeight="1" x14ac:dyDescent="0.25">
      <c r="A11" s="23" t="s">
        <v>35</v>
      </c>
      <c r="B11" s="23" t="s">
        <v>29</v>
      </c>
      <c r="C11" s="9" t="s">
        <v>6</v>
      </c>
      <c r="D11" s="9" t="s">
        <v>32</v>
      </c>
      <c r="E11" s="28" t="s">
        <v>33</v>
      </c>
      <c r="F11" s="28" t="s">
        <v>34</v>
      </c>
      <c r="G11" s="10" t="str">
        <f>IF(N11&lt;&gt;"", N11, M11)</f>
        <v>!2.ngay_ct0</v>
      </c>
      <c r="H11" s="26" t="s">
        <v>24</v>
      </c>
      <c r="I11" s="45" t="str">
        <f>IF(A11&lt;&gt;"",A11,""&amp;B11)</f>
        <v>!2.so_ct0</v>
      </c>
      <c r="J11" s="9" t="s">
        <v>13</v>
      </c>
      <c r="K11" s="11" t="s">
        <v>21</v>
      </c>
      <c r="L11" s="17" t="str">
        <f>IF(O11=0, P11, Q11)</f>
        <v>!2.tt</v>
      </c>
      <c r="M11" s="23" t="s">
        <v>16</v>
      </c>
      <c r="N11" s="23" t="s">
        <v>17</v>
      </c>
      <c r="O11" s="23" t="s">
        <v>19</v>
      </c>
      <c r="P11" s="23" t="s">
        <v>14</v>
      </c>
      <c r="Q11" s="23" t="s">
        <v>20</v>
      </c>
      <c r="R11" s="23" t="s">
        <v>23</v>
      </c>
    </row>
    <row r="12" spans="1:18" ht="15" hidden="1" customHeight="1" x14ac:dyDescent="0.25">
      <c r="C12" s="12"/>
      <c r="D12" s="12"/>
      <c r="E12" s="29"/>
      <c r="F12" s="29"/>
      <c r="G12" s="12"/>
      <c r="H12" s="12"/>
      <c r="I12" s="12"/>
      <c r="J12" s="12"/>
      <c r="K12" s="12"/>
      <c r="L12" s="18"/>
    </row>
    <row r="13" spans="1:18" ht="15" customHeight="1" x14ac:dyDescent="0.25">
      <c r="C13" s="34" t="s">
        <v>15</v>
      </c>
      <c r="D13" s="34"/>
      <c r="E13" s="34"/>
      <c r="F13" s="34"/>
      <c r="G13" s="34"/>
      <c r="H13" s="34"/>
      <c r="I13" s="34"/>
      <c r="J13" s="34"/>
      <c r="K13" s="21">
        <f>SUMIF($O$11:O11, 0, $K$11:K11)</f>
        <v>0</v>
      </c>
      <c r="L13" s="22">
        <f>SUMIF($R$11:R11, 1, $L$11:L11)</f>
        <v>0</v>
      </c>
    </row>
    <row r="14" spans="1:18" ht="15" customHeight="1" x14ac:dyDescent="0.25">
      <c r="C14" s="35" t="s">
        <v>22</v>
      </c>
      <c r="D14" s="35"/>
      <c r="E14" s="35"/>
      <c r="F14" s="35"/>
      <c r="G14" s="35"/>
      <c r="H14" s="35"/>
      <c r="I14" s="35"/>
      <c r="J14" s="35"/>
      <c r="K14" s="20">
        <f>K13-L13</f>
        <v>0</v>
      </c>
      <c r="L14" s="24"/>
    </row>
    <row r="15" spans="1:18" ht="15" customHeight="1" x14ac:dyDescent="0.25">
      <c r="C15" s="3"/>
      <c r="D15" s="3"/>
      <c r="E15" s="3"/>
      <c r="F15" s="3"/>
      <c r="G15" s="3"/>
      <c r="H15" s="3"/>
      <c r="I15" s="3"/>
      <c r="J15" s="3"/>
      <c r="K15" s="3"/>
      <c r="L15" s="15"/>
    </row>
    <row r="16" spans="1:18" ht="15" customHeight="1" x14ac:dyDescent="0.25">
      <c r="E16" s="4"/>
      <c r="F16" s="4"/>
      <c r="G16" s="3"/>
      <c r="H16" s="3"/>
      <c r="I16" s="3"/>
      <c r="K16" s="31" t="s">
        <v>5</v>
      </c>
      <c r="L16" s="31"/>
    </row>
    <row r="17" spans="5:12" ht="15" customHeight="1" x14ac:dyDescent="0.25">
      <c r="E17" s="6"/>
      <c r="F17" s="6"/>
      <c r="G17" s="4"/>
      <c r="H17" s="4"/>
      <c r="I17" s="4"/>
      <c r="K17" s="32" t="s">
        <v>7</v>
      </c>
      <c r="L17" s="32"/>
    </row>
    <row r="18" spans="5:12" ht="15" customHeight="1" x14ac:dyDescent="0.25">
      <c r="E18" s="30"/>
      <c r="F18" s="30"/>
      <c r="G18" s="6"/>
      <c r="H18" s="6"/>
      <c r="I18" s="6"/>
      <c r="K18" s="33" t="s">
        <v>8</v>
      </c>
      <c r="L18" s="33"/>
    </row>
    <row r="19" spans="5:12" ht="15" customHeight="1" x14ac:dyDescent="0.25">
      <c r="E19" s="4"/>
      <c r="F19" s="4"/>
      <c r="G19" s="4"/>
      <c r="H19" s="4"/>
      <c r="I19" s="4"/>
      <c r="J19" s="4"/>
      <c r="K19" s="4"/>
      <c r="L19" s="19"/>
    </row>
  </sheetData>
  <mergeCells count="16">
    <mergeCell ref="C6:L6"/>
    <mergeCell ref="C7:L7"/>
    <mergeCell ref="G9:I9"/>
    <mergeCell ref="K9:K10"/>
    <mergeCell ref="L9:L10"/>
    <mergeCell ref="J9:J10"/>
    <mergeCell ref="D9:D10"/>
    <mergeCell ref="H10:I10"/>
    <mergeCell ref="C9:C10"/>
    <mergeCell ref="E9:E10"/>
    <mergeCell ref="F9:F10"/>
    <mergeCell ref="K16:L16"/>
    <mergeCell ref="K17:L17"/>
    <mergeCell ref="K18:L18"/>
    <mergeCell ref="C13:J13"/>
    <mergeCell ref="C14:J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2018-08-15T02:59:15Z</dcterms:modified>
</cp:coreProperties>
</file>