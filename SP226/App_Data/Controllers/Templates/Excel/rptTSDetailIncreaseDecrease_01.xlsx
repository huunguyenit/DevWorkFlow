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" i="1" l="1"/>
  <c r="B1" i="1"/>
  <c r="F1" i="1"/>
  <c r="C1" i="1"/>
  <c r="A8" i="1" l="1"/>
  <c r="F10" i="1"/>
  <c r="H10" i="1"/>
  <c r="G10" i="1"/>
  <c r="H13" i="1"/>
  <c r="G13" i="1"/>
  <c r="F13" i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<sst xmlns="http://schemas.openxmlformats.org/spreadsheetml/2006/main" count="31" uniqueCount="30">
  <si>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</si>
  <si>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</si>
  <si>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</si>
  <si>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</si>
  <si>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</si>
  <si>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</si>
  <si>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</si>
  <si>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</si>
  <si>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</si>
  <si>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</si>
  <si>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</si>
  <si>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</si>
  <si>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</si>
  <si>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</si>
  <si>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</si>
  <si>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</si>
  <si>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</si>
  <si>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</si>
  <si>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</si>
  <si>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</si>
  <si>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</si>
  <si>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</si>
  <si>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</si>
  <si>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</si>
  <si>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!2.gt_cl%c{b:systotal=0}</t>
  </si>
  <si>
    <t>?h_ngay_mua2</t>
  </si>
  <si>
    <t>?h_ly_do</t>
  </si>
  <si>
    <t>!2.ten_tg_ts%l</t>
  </si>
  <si>
    <t>!1.tu_ky</t>
  </si>
  <si>
    <t>!1.den_ky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</si>
</sst>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10" style="2" customWidth="1"/>
    <col min="4" max="4" width="9" style="2" customWidth="1"/>
    <col min="5" max="5" width="10" style="2" customWidth="1"/>
    <col min="6" max="8" width="15" style="2" customWidth="1"/>
    <col min="9" max="9" width="32.42578125" style="2" customWidth="1"/>
    <col min="10" max="10" width="8.85546875" style="2" hidden="1" customWidth="1"/>
    <col min="11" max="16384" width="9.140625" style="2"/>
  </cols>
  <sheetData>
    <row r="1" spans="1:10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28</v>
      </c>
      <c r="E1" s="15" t="e">
        <f>MONTH(G1)</f>
        <v>#VALUE!</v>
      </c>
      <c r="F1" s="15" t="e">
        <f>YEAR(G1)</f>
        <v>#VALUE!</v>
      </c>
      <c r="G1" s="15" t="s">
        <v>29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0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</row>
    <row r="8" spans="1:10" ht="15" customHeight="1" x14ac:dyDescent="0.25">
      <c r="A8" s="31" t="e">
        <f>"?h_tu_ky " &amp; IF(B1 &lt; 10, "0", "") &amp; B1 &amp; "/" &amp; C1 &amp; " ?h_den_ky " &amp; IF(E1 &lt; 10, "0", "") &amp;E1 &amp; "/" &amp;F1</f>
        <v>#VALUE!</v>
      </c>
      <c r="B8" s="31"/>
      <c r="C8" s="31"/>
      <c r="D8" s="31"/>
      <c r="E8" s="31"/>
      <c r="F8" s="31"/>
      <c r="G8" s="31"/>
      <c r="H8" s="31"/>
      <c r="I8" s="31"/>
    </row>
    <row r="9" spans="1:10" ht="15" customHeight="1" x14ac:dyDescent="0.25">
      <c r="A9" s="8"/>
      <c r="B9" s="10"/>
      <c r="C9" s="17"/>
      <c r="D9" s="17"/>
      <c r="E9" s="8"/>
      <c r="F9" s="8"/>
      <c r="G9" s="13"/>
      <c r="H9" s="13"/>
      <c r="I9" s="25"/>
    </row>
    <row r="10" spans="1:10" ht="22.5" customHeight="1" x14ac:dyDescent="0.25">
      <c r="A10" s="11" t="s">
        <v>8</v>
      </c>
      <c r="B10" s="27" t="s">
        <v>17</v>
      </c>
      <c r="C10" s="11" t="s">
        <v>15</v>
      </c>
      <c r="D10" s="11" t="s">
        <v>25</v>
      </c>
      <c r="E10" s="11" t="s">
        <v>16</v>
      </c>
      <c r="F10" s="11" t="e">
        <f>IF(A1, "?h_nguyen_gia_nt", "?h_nguyen_gia")</f>
        <v>#VALUE!</v>
      </c>
      <c r="G10" s="11" t="e">
        <f>IF(A1, "?h_gt_da_kh_nt", "?h_gt_da_kh")</f>
        <v>#VALUE!</v>
      </c>
      <c r="H10" s="11" t="e">
        <f>IF(A1, "?h_gt_cl_nt", "?h_gt_cl")</f>
        <v>#VALUE!</v>
      </c>
      <c r="I10" s="11" t="s">
        <v>26</v>
      </c>
    </row>
    <row r="11" spans="1:10" ht="15" customHeight="1" x14ac:dyDescent="0.25">
      <c r="A11" s="16" t="s">
        <v>21</v>
      </c>
      <c r="B11" s="26" t="s">
        <v>14</v>
      </c>
      <c r="C11" s="23" t="s">
        <v>18</v>
      </c>
      <c r="D11" s="33" t="s">
        <v>19</v>
      </c>
      <c r="E11" s="18" t="s">
        <v>20</v>
      </c>
      <c r="F11" s="16" t="s">
        <v>22</v>
      </c>
      <c r="G11" s="16" t="s">
        <v>23</v>
      </c>
      <c r="H11" s="16" t="s">
        <v>24</v>
      </c>
      <c r="I11" s="23" t="s">
        <v>27</v>
      </c>
      <c r="J11" s="15" t="s">
        <v>13</v>
      </c>
    </row>
    <row r="12" spans="1:10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10" ht="15" customHeight="1" x14ac:dyDescent="0.25">
      <c r="A13" s="19"/>
      <c r="B13" s="20"/>
      <c r="C13" s="20"/>
      <c r="D13" s="19"/>
      <c r="E13" s="21" t="s">
        <v>10</v>
      </c>
      <c r="F13" s="22">
        <f>SUMIF($J$11:J11, "=1", $F$11:F11)</f>
        <v>0</v>
      </c>
      <c r="G13" s="22">
        <f>SUMIF($J$11:J11, "=1", $G$11:G11)</f>
        <v>0</v>
      </c>
      <c r="H13" s="22">
        <f>SUMIF($J$11:J11, "=1", $H$11:H11)</f>
        <v>0</v>
      </c>
      <c r="I13" s="22"/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" customHeight="1" x14ac:dyDescent="0.25">
      <c r="A15" s="3"/>
      <c r="H15" s="30" t="s">
        <v>5</v>
      </c>
      <c r="I15" s="30"/>
    </row>
    <row r="16" spans="1:10" ht="15" customHeight="1" x14ac:dyDescent="0.25">
      <c r="A16" s="28" t="s">
        <v>12</v>
      </c>
      <c r="B16" s="28"/>
      <c r="E16" s="4"/>
      <c r="G16" s="4"/>
      <c r="H16" s="28" t="s">
        <v>7</v>
      </c>
      <c r="I16" s="28"/>
    </row>
    <row r="17" spans="1:9" ht="15" customHeight="1" x14ac:dyDescent="0.25">
      <c r="A17" s="29" t="s">
        <v>6</v>
      </c>
      <c r="B17" s="29"/>
      <c r="E17" s="9"/>
      <c r="G17" s="9"/>
      <c r="H17" s="29" t="s">
        <v>6</v>
      </c>
      <c r="I17" s="29"/>
    </row>
    <row r="18" spans="1:9" ht="56.85" customHeight="1" x14ac:dyDescent="0.25">
      <c r="A18" s="5"/>
      <c r="B18" s="5"/>
      <c r="C18" s="5"/>
      <c r="D18" s="5"/>
      <c r="E18" s="6"/>
      <c r="F18" s="6"/>
      <c r="G18" s="6"/>
    </row>
    <row r="19" spans="1:9" ht="15" customHeight="1" x14ac:dyDescent="0.25">
      <c r="A19" s="28" t="s">
        <v>11</v>
      </c>
      <c r="B19" s="28"/>
      <c r="C19" s="4"/>
      <c r="D19" s="4"/>
      <c r="E19" s="4"/>
      <c r="F19" s="7"/>
      <c r="G19" s="14"/>
      <c r="H19" s="14"/>
      <c r="I19" s="24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2014-05-26T03:29:01Z</dcterms:modified>
</cp:coreProperties>
</file>