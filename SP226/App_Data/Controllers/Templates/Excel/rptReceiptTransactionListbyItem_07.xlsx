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75" yWindow="2925" windowWidth="19155" windowHeight="12330"/>
  </bookViews>
  <sheets>
    <sheet name="Main" sheetId="1" r:id="rId1"/>
  </sheets>
  <definedNames>
    <definedName name="_xlnm.Print_Titles" localSheetId="0">Main!$11:$12</definedName>
  </definedNames>
  <calcPr calcId="125725"/>
</workbook>
</file>

<file path=xl/calcChain.xml><?xml version="1.0" encoding="utf-8"?>
<calcChain xmlns="http://schemas.openxmlformats.org/spreadsheetml/2006/main">
  <c r="D13" i="1"/>
  <c r="K15"/>
  <c r="J15"/>
  <c r="L11"/>
  <c r="K11"/>
  <c r="J11"/>
  <c r="I11"/>
  <c r="M11"/>
  <c r="H15"/>
  <c r="M15"/>
</calcChain>
</file>

<file path=xl/sharedStrings.xml><?xml version="1.0" encoding="utf-8"?>
<sst xmlns="http://schemas.openxmlformats.org/spreadsheetml/2006/main" count="36" uniqueCount="36">
  <si>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</si>
  <si>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</si>
  <si>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</si>
  <si>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</si>
  <si>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</si>
  <si>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</si>
  <si>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</si>
  <si>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</si>
  <si>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?h_dien_giai</t>
  </si>
  <si>
    <t>!2.systotal</t>
  </si>
  <si>
    <t>?isFC</t>
  </si>
  <si>
    <t>?h_ct</t>
  </si>
  <si>
    <t>!2.ngay_ct</t>
  </si>
  <si>
    <t>!2.ma_ct0</t>
  </si>
  <si>
    <t>!2.so_ct</t>
  </si>
  <si>
    <t>!2.so_luong</t>
  </si>
  <si>
    <t>#?h_tu_ngay + + !1.tu_ngay + + ?h_den_ngay + + !1.den_ngay</t>
  </si>
  <si>
    <t>?total</t>
  </si>
  <si>
    <t>!2.dien_giai</t>
  </si>
  <si>
    <t>?h_ngay</t>
  </si>
  <si>
    <t>?h_so</t>
  </si>
  <si>
    <t>?h_nx</t>
  </si>
  <si>
    <t>?h_kho</t>
  </si>
  <si>
    <t>?h_sl</t>
  </si>
  <si>
    <t>!2.ma_kho</t>
  </si>
  <si>
    <t>!2.ma_nx</t>
  </si>
  <si>
    <t>!2.tien%c</t>
  </si>
  <si>
    <t>!2.gia%c</t>
  </si>
  <si>
    <t>!2.gia%c0</t>
  </si>
  <si>
    <t>!2.cp%c</t>
  </si>
  <si>
    <t>!2.tien%c0</t>
  </si>
  <si>
    <t>#?h_kh + + !1.ma_kh + - + !1.ten_kh%l</t>
  </si>
  <si>
    <t>#, + + ?h_dvt</t>
  </si>
  <si>
    <t>!2.dvt{nsv:systotal = 1}</t>
  </si>
  <si>
    <t>?h_dvt2</t>
  </si>
  <si>
    <t>!2.dvt</t>
  </si>
</sst>
</file>

<file path=xl/styles.xml><?xml version="1.0" encoding="utf-8"?>
<styleSheet xmlns="http://schemas.openxmlformats.org/spreadsheetml/2006/main">
  <numFmts count="5">
    <numFmt numFmtId="164" formatCode="_(* #,##0_);_(* \(#,##0\);_(@_)"/>
    <numFmt numFmtId="165" formatCode="dd/mm/yyyy"/>
    <numFmt numFmtId="166" formatCode="_(* #,##0_);_(* \(#,##0\);_(* &quot;&quot;_);_(@_)"/>
    <numFmt numFmtId="167" formatCode="_(* #,##0.000_);_(* \(#,##0.000\);_(* &quot;&quot;_);_(@_)"/>
    <numFmt numFmtId="168" formatCode="_(* #,##0.000_);_(* \(#,##0.000\);_(@_)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3" xfId="0" applyNumberFormat="1" applyFont="1" applyBorder="1" applyAlignment="1">
      <alignment vertical="center" wrapText="1"/>
    </xf>
    <xf numFmtId="164" fontId="1" fillId="0" borderId="8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8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166" fontId="2" fillId="0" borderId="7" xfId="0" applyNumberFormat="1" applyFont="1" applyBorder="1" applyAlignment="1">
      <alignment horizontal="right" vertical="center"/>
    </xf>
    <xf numFmtId="166" fontId="2" fillId="0" borderId="3" xfId="0" applyNumberFormat="1" applyFont="1" applyBorder="1" applyAlignment="1">
      <alignment horizontal="right" vertical="center"/>
    </xf>
    <xf numFmtId="167" fontId="2" fillId="0" borderId="3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8" fontId="1" fillId="0" borderId="8" xfId="0" applyNumberFormat="1" applyFont="1" applyBorder="1" applyAlignment="1">
      <alignment vertical="center"/>
    </xf>
    <xf numFmtId="165" fontId="2" fillId="0" borderId="3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left" vertical="center" wrapText="1"/>
    </xf>
    <xf numFmtId="0" fontId="1" fillId="2" borderId="1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2" borderId="10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1" xfId="0" quotePrefix="1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</cellXfs>
  <cellStyles count="1">
    <cellStyle name="Normal" xfId="0" builtinId="0"/>
  </cellStyles>
  <dxfs count="3">
    <dxf>
      <numFmt numFmtId="169" formatCode="_(* #,##0.00_);_(* \(#,##0.00\);_(@_)"/>
    </dxf>
    <dxf>
      <font>
        <b/>
        <i val="0"/>
      </font>
    </dxf>
    <dxf>
      <numFmt numFmtId="170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P22"/>
  <sheetViews>
    <sheetView showGridLines="0" tabSelected="1" topLeftCell="A2" zoomScaleNormal="100" workbookViewId="0">
      <selection activeCell="A7" sqref="A7:M7"/>
    </sheetView>
  </sheetViews>
  <sheetFormatPr defaultColWidth="9.140625" defaultRowHeight="15" customHeight="1"/>
  <cols>
    <col min="1" max="1" width="9" style="2" customWidth="1"/>
    <col min="2" max="2" width="4.85546875" style="2" customWidth="1"/>
    <col min="3" max="3" width="10" style="2" customWidth="1"/>
    <col min="4" max="4" width="39.28515625" style="2" customWidth="1"/>
    <col min="5" max="5" width="9" style="2" customWidth="1"/>
    <col min="6" max="9" width="10" style="2" customWidth="1"/>
    <col min="10" max="11" width="15" style="2" customWidth="1"/>
    <col min="12" max="12" width="10" style="2" customWidth="1"/>
    <col min="13" max="13" width="15" style="2" customWidth="1"/>
    <col min="14" max="14" width="9" style="15" hidden="1" customWidth="1"/>
    <col min="15" max="15" width="8.7109375" style="15" hidden="1" customWidth="1"/>
    <col min="16" max="16" width="0" style="15" hidden="1" customWidth="1"/>
    <col min="17" max="16384" width="9.140625" style="2"/>
  </cols>
  <sheetData>
    <row r="1" spans="1:16" s="15" customFormat="1" ht="15.6" hidden="1" customHeight="1">
      <c r="A1" s="15" t="s">
        <v>10</v>
      </c>
      <c r="B1" s="15" t="s">
        <v>32</v>
      </c>
    </row>
    <row r="2" spans="1:16" ht="15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6" ht="15" customHeight="1">
      <c r="A3" s="2" t="s">
        <v>2</v>
      </c>
    </row>
    <row r="4" spans="1:16" ht="15" customHeight="1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6" ht="15" customHeight="1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7" spans="1:16" ht="28.35" customHeight="1">
      <c r="A7" s="32" t="s">
        <v>0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</row>
    <row r="8" spans="1:16" ht="15" customHeight="1">
      <c r="A8" s="33" t="s">
        <v>31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</row>
    <row r="9" spans="1:16" ht="15" customHeight="1">
      <c r="A9" s="33" t="s">
        <v>16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</row>
    <row r="10" spans="1:16" ht="15" customHeight="1">
      <c r="A10" s="16"/>
      <c r="B10" s="16"/>
      <c r="C10" s="16"/>
      <c r="D10" s="16"/>
      <c r="E10" s="24"/>
      <c r="F10" s="19"/>
      <c r="G10" s="19"/>
      <c r="H10" s="16"/>
      <c r="I10" s="16"/>
      <c r="J10" s="21"/>
      <c r="K10" s="21"/>
      <c r="L10" s="21"/>
      <c r="M10" s="16"/>
    </row>
    <row r="11" spans="1:16" ht="22.5" customHeight="1">
      <c r="A11" s="29" t="s">
        <v>11</v>
      </c>
      <c r="B11" s="30"/>
      <c r="C11" s="31"/>
      <c r="D11" s="38" t="s">
        <v>8</v>
      </c>
      <c r="E11" s="38" t="s">
        <v>34</v>
      </c>
      <c r="F11" s="38" t="s">
        <v>21</v>
      </c>
      <c r="G11" s="38" t="s">
        <v>22</v>
      </c>
      <c r="H11" s="38" t="s">
        <v>23</v>
      </c>
      <c r="I11" s="34" t="e">
        <f xml:space="preserve"> IF(A1, "?h_gia_mua_nt", "?h_gia_mua")</f>
        <v>#VALUE!</v>
      </c>
      <c r="J11" s="34" t="e">
        <f>IF(A1, "?h_tien_hang_nt", "?h_tien_hang")</f>
        <v>#VALUE!</v>
      </c>
      <c r="K11" s="34" t="e">
        <f>IF(A1, "?h_cp_nt", "?h_cp")</f>
        <v>#VALUE!</v>
      </c>
      <c r="L11" s="34" t="e">
        <f>IF(A1, "?h_gia_nt", "?h_gia")</f>
        <v>#VALUE!</v>
      </c>
      <c r="M11" s="34" t="e">
        <f>IF(A1, "?h_tien_nt", "?h_tien")</f>
        <v>#VALUE!</v>
      </c>
    </row>
    <row r="12" spans="1:16" ht="22.5" customHeight="1">
      <c r="A12" s="23" t="s">
        <v>19</v>
      </c>
      <c r="B12" s="36" t="s">
        <v>20</v>
      </c>
      <c r="C12" s="37"/>
      <c r="D12" s="35"/>
      <c r="E12" s="35"/>
      <c r="F12" s="35"/>
      <c r="G12" s="35"/>
      <c r="H12" s="35"/>
      <c r="I12" s="35"/>
      <c r="J12" s="35"/>
      <c r="K12" s="35"/>
      <c r="L12" s="35"/>
      <c r="M12" s="35"/>
    </row>
    <row r="13" spans="1:16" ht="15" customHeight="1">
      <c r="A13" s="18" t="s">
        <v>12</v>
      </c>
      <c r="B13" s="22" t="s">
        <v>13</v>
      </c>
      <c r="C13" s="20" t="s">
        <v>14</v>
      </c>
      <c r="D13" s="7" t="str">
        <f>P13</f>
        <v>!2.dien_giai</v>
      </c>
      <c r="E13" s="7" t="s">
        <v>35</v>
      </c>
      <c r="F13" s="25" t="s">
        <v>25</v>
      </c>
      <c r="G13" s="25" t="s">
        <v>24</v>
      </c>
      <c r="H13" s="14" t="s">
        <v>15</v>
      </c>
      <c r="I13" s="13" t="s">
        <v>28</v>
      </c>
      <c r="J13" s="12" t="s">
        <v>30</v>
      </c>
      <c r="K13" s="12" t="s">
        <v>29</v>
      </c>
      <c r="L13" s="12" t="s">
        <v>27</v>
      </c>
      <c r="M13" s="12" t="s">
        <v>26</v>
      </c>
      <c r="N13" s="15" t="s">
        <v>9</v>
      </c>
      <c r="O13" s="15" t="s">
        <v>33</v>
      </c>
      <c r="P13" s="15" t="s">
        <v>18</v>
      </c>
    </row>
    <row r="14" spans="1:16" ht="14.25" hidden="1" customHeight="1">
      <c r="A14" s="39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</row>
    <row r="15" spans="1:16" ht="15" customHeight="1">
      <c r="A15" s="10"/>
      <c r="B15" s="10"/>
      <c r="C15" s="10"/>
      <c r="D15" s="8"/>
      <c r="E15" s="8"/>
      <c r="F15" s="8"/>
      <c r="G15" s="8" t="s">
        <v>17</v>
      </c>
      <c r="H15" s="17">
        <f>SUMIF($N$13:N13, 1, $H$13:H13)</f>
        <v>0</v>
      </c>
      <c r="I15" s="8"/>
      <c r="J15" s="8">
        <f>SUMIF($N$13:$N13, 1, $J$13:$J13)</f>
        <v>0</v>
      </c>
      <c r="K15" s="8">
        <f>SUMIF($N$13:$N13, 1, $K$13:$K13)</f>
        <v>0</v>
      </c>
      <c r="L15" s="8"/>
      <c r="M15" s="8">
        <f>SUMIF($N$13:N13, 1, $M$13:M13)</f>
        <v>0</v>
      </c>
    </row>
    <row r="16" spans="1:16" ht="15" customHeight="1">
      <c r="A16" s="11"/>
      <c r="B16" s="11"/>
      <c r="C16" s="11"/>
      <c r="D16" s="11"/>
      <c r="E16" s="11"/>
      <c r="F16" s="11"/>
      <c r="G16" s="11"/>
      <c r="H16" s="11"/>
      <c r="I16" s="9"/>
      <c r="J16" s="9"/>
      <c r="K16" s="9"/>
      <c r="L16" s="9"/>
      <c r="M16" s="9"/>
    </row>
    <row r="17" spans="1:13" ht="15" customHeight="1">
      <c r="A17" s="9"/>
      <c r="B17" s="9"/>
      <c r="C17" s="9"/>
      <c r="D17" s="9"/>
      <c r="E17" s="9"/>
      <c r="F17" s="9"/>
      <c r="K17" s="26" t="s">
        <v>5</v>
      </c>
      <c r="L17" s="26"/>
      <c r="M17" s="26"/>
    </row>
    <row r="18" spans="1:13" ht="15" customHeight="1">
      <c r="A18" s="3"/>
      <c r="B18" s="3"/>
      <c r="C18" s="3"/>
      <c r="D18" s="3"/>
      <c r="E18" s="3"/>
      <c r="F18" s="3"/>
      <c r="H18" s="4"/>
      <c r="I18" s="4"/>
      <c r="J18" s="4"/>
      <c r="K18" s="27" t="s">
        <v>7</v>
      </c>
      <c r="L18" s="27"/>
      <c r="M18" s="27"/>
    </row>
    <row r="19" spans="1:13" ht="15" customHeight="1">
      <c r="A19" s="4"/>
      <c r="B19" s="4"/>
      <c r="C19" s="4"/>
      <c r="D19" s="4"/>
      <c r="E19" s="4"/>
      <c r="F19" s="4"/>
      <c r="H19" s="6"/>
      <c r="I19" s="6"/>
      <c r="J19" s="6"/>
      <c r="K19" s="28" t="s">
        <v>6</v>
      </c>
      <c r="L19" s="28"/>
      <c r="M19" s="28"/>
    </row>
    <row r="20" spans="1:13" ht="15" customHeight="1">
      <c r="A20" s="6"/>
      <c r="B20" s="6"/>
      <c r="C20" s="6"/>
      <c r="D20" s="6"/>
      <c r="E20" s="6"/>
      <c r="F20" s="6"/>
      <c r="G20" s="6"/>
      <c r="I20" s="6"/>
      <c r="J20" s="6"/>
      <c r="K20" s="6"/>
      <c r="L20" s="6"/>
      <c r="M20" s="6"/>
    </row>
    <row r="21" spans="1:13" ht="1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 ht="1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</sheetData>
  <mergeCells count="18">
    <mergeCell ref="L11:L12"/>
    <mergeCell ref="E11:E12"/>
    <mergeCell ref="K17:M17"/>
    <mergeCell ref="K18:M18"/>
    <mergeCell ref="K19:M19"/>
    <mergeCell ref="A11:C11"/>
    <mergeCell ref="A7:M7"/>
    <mergeCell ref="A8:M8"/>
    <mergeCell ref="A9:M9"/>
    <mergeCell ref="I11:I12"/>
    <mergeCell ref="B12:C12"/>
    <mergeCell ref="H11:H12"/>
    <mergeCell ref="D11:D12"/>
    <mergeCell ref="M11:M12"/>
    <mergeCell ref="F11:F12"/>
    <mergeCell ref="G11:G12"/>
    <mergeCell ref="J11:J12"/>
    <mergeCell ref="K11:K12"/>
  </mergeCells>
  <conditionalFormatting sqref="I13:M13">
    <cfRule type="expression" dxfId="2" priority="19" stopIfTrue="1">
      <formula>AND($A$1, 1)</formula>
    </cfRule>
  </conditionalFormatting>
  <conditionalFormatting sqref="D13:M13">
    <cfRule type="expression" dxfId="1" priority="4">
      <formula>$N13 = 0</formula>
    </cfRule>
  </conditionalFormatting>
  <conditionalFormatting sqref="M15 J15:K15">
    <cfRule type="expression" dxfId="0" priority="3">
      <formula>AND($A$1,2)</formula>
    </cfRule>
  </conditionalFormatting>
  <pageMargins left="0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2015-03-19T04:40:16Z</cp:lastPrinted>
  <dcterms:created xsi:type="dcterms:W3CDTF">2011-07-29T01:01:31Z</dcterms:created>
  <dcterms:modified xsi:type="dcterms:W3CDTF">2015-03-19T04:41:20Z</dcterms:modified>
</cp:coreProperties>
</file>